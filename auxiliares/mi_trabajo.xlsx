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cidata\26_AL_Li\auxiliares\"/>
    </mc:Choice>
  </mc:AlternateContent>
  <xr:revisionPtr revIDLastSave="0" documentId="13_ncr:1_{E218F440-7D16-4E17-A9EB-33D978CC022D}" xr6:coauthVersionLast="47" xr6:coauthVersionMax="47" xr10:uidLastSave="{00000000-0000-0000-0000-000000000000}"/>
  <bookViews>
    <workbookView xWindow="-120" yWindow="-120" windowWidth="20730" windowHeight="11160" xr2:uid="{4AD8B574-3D26-4A3F-8DD7-533422C6D9ED}"/>
  </bookViews>
  <sheets>
    <sheet name="Hoja1" sheetId="1" r:id="rId1"/>
    <sheet name="Hoja2" sheetId="2" r:id="rId2"/>
    <sheet name="Hoja3" sheetId="3" r:id="rId3"/>
    <sheet name="Hoja4" sheetId="7" r:id="rId4"/>
    <sheet name="Hoja5" sheetId="5" r:id="rId5"/>
    <sheet name="Hoja6" sheetId="6" r:id="rId6"/>
    <sheet name="Hoja7" sheetId="8" r:id="rId7"/>
    <sheet name="Hoja8" sheetId="9" r:id="rId8"/>
    <sheet name="Hoja9" sheetId="10" r:id="rId9"/>
  </sheets>
  <definedNames>
    <definedName name="_xlcn.WorksheetConnection_Hoja7A1C181" hidden="1">Hoja7!$B$1:$D$18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Hoja7!$A$1:$C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7" l="1"/>
  <c r="D18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2" i="7"/>
  <c r="B18" i="7"/>
  <c r="A18" i="7"/>
  <c r="AI2" i="3" a="1"/>
  <c r="AI2" i="3" s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" i="3"/>
  <c r="H3" i="1"/>
  <c r="H4" i="1"/>
  <c r="H5" i="1"/>
  <c r="H6" i="1"/>
  <c r="H7" i="1"/>
  <c r="H8" i="1"/>
  <c r="H9" i="1"/>
  <c r="H10" i="1"/>
  <c r="H11" i="1"/>
  <c r="H12" i="1"/>
  <c r="H13" i="1"/>
  <c r="H2" i="1"/>
  <c r="B27" i="1"/>
  <c r="B26" i="1"/>
  <c r="B18" i="1"/>
  <c r="F2" i="1"/>
  <c r="B19" i="1"/>
  <c r="C17" i="1"/>
  <c r="B17" i="1"/>
  <c r="F3" i="1"/>
  <c r="E3" i="1"/>
  <c r="E4" i="1"/>
  <c r="E5" i="1"/>
  <c r="E6" i="1"/>
  <c r="E7" i="1"/>
  <c r="E8" i="1"/>
  <c r="E9" i="1"/>
  <c r="E10" i="1"/>
  <c r="E11" i="1"/>
  <c r="E12" i="1"/>
  <c r="E13" i="1"/>
  <c r="E2" i="1"/>
  <c r="D3" i="1"/>
  <c r="D4" i="1"/>
  <c r="D5" i="1"/>
  <c r="D6" i="1"/>
  <c r="D7" i="1"/>
  <c r="D8" i="1"/>
  <c r="D9" i="1"/>
  <c r="D10" i="1"/>
  <c r="D11" i="1"/>
  <c r="D12" i="1"/>
  <c r="D13" i="1"/>
  <c r="D2" i="1"/>
  <c r="F4" i="1"/>
  <c r="F5" i="1"/>
  <c r="F6" i="1"/>
  <c r="F7" i="1"/>
  <c r="F8" i="1"/>
  <c r="F9" i="1"/>
  <c r="F10" i="1"/>
  <c r="F11" i="1"/>
  <c r="F12" i="1"/>
  <c r="F13" i="1"/>
  <c r="C16" i="1"/>
  <c r="B16" i="1"/>
  <c r="F22" i="3" l="1"/>
  <c r="G22" i="3"/>
  <c r="H21" i="3"/>
  <c r="G21" i="3"/>
  <c r="I21" i="3"/>
  <c r="F21" i="3"/>
  <c r="H22" i="3"/>
  <c r="I22" i="3"/>
  <c r="F22" i="1"/>
  <c r="D20" i="1"/>
  <c r="B25" i="1" s="1"/>
  <c r="E2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E0B83D-4349-4B61-B5D5-501386152943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69DEC0B-E30E-42E8-BE3F-A55F6DE71735}" name="WorksheetConnection_Hoja7!$A$1:$C$18" type="102" refreshedVersion="7" minRefreshableVersion="5">
    <extLst>
      <ext xmlns:x15="http://schemas.microsoft.com/office/spreadsheetml/2010/11/main" uri="{DE250136-89BD-433C-8126-D09CA5730AF9}">
        <x15:connection id="Rango">
          <x15:rangePr sourceName="_xlcn.WorksheetConnection_Hoja7A1C18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<sst xmlns="http://schemas.openxmlformats.org/spreadsheetml/2006/main" count="51" uniqueCount="46">
  <si>
    <t>x</t>
  </si>
  <si>
    <t>n-1</t>
  </si>
  <si>
    <t>y</t>
  </si>
  <si>
    <t>covarianza</t>
  </si>
  <si>
    <t>producto interno</t>
  </si>
  <si>
    <t>correlacion</t>
  </si>
  <si>
    <t>x^2</t>
  </si>
  <si>
    <t>y^2</t>
  </si>
  <si>
    <t>xy</t>
  </si>
  <si>
    <t>norma x</t>
  </si>
  <si>
    <t>norma y</t>
  </si>
  <si>
    <t>promedio</t>
  </si>
  <si>
    <t>varianza</t>
  </si>
  <si>
    <t>var=norma^2/n-1</t>
  </si>
  <si>
    <t>covarianza=producto/n-1</t>
  </si>
  <si>
    <t>correlacion = producto interno/producto de normas</t>
  </si>
  <si>
    <t>=</t>
  </si>
  <si>
    <t>x+y</t>
  </si>
  <si>
    <t>col1</t>
  </si>
  <si>
    <t>col2</t>
  </si>
  <si>
    <t>col3</t>
  </si>
  <si>
    <t>col4</t>
  </si>
  <si>
    <t>col1_estandarizada</t>
  </si>
  <si>
    <t>col2_estandarizada</t>
  </si>
  <si>
    <t>col3_estandarizada</t>
  </si>
  <si>
    <t>col4_estandarizada</t>
  </si>
  <si>
    <t>x1</t>
  </si>
  <si>
    <t>x2</t>
  </si>
  <si>
    <t>col0</t>
  </si>
  <si>
    <t>beta1</t>
  </si>
  <si>
    <t>beta2</t>
  </si>
  <si>
    <t>beta3</t>
  </si>
  <si>
    <t>beta4</t>
  </si>
  <si>
    <t>beta0</t>
  </si>
  <si>
    <t>y gorro</t>
  </si>
  <si>
    <t>y objetivo</t>
  </si>
  <si>
    <t>(y gorro-y objetivo)^2</t>
  </si>
  <si>
    <t>5 columas</t>
  </si>
  <si>
    <t>5 filas</t>
  </si>
  <si>
    <t>3 filas</t>
  </si>
  <si>
    <t>2 columnas</t>
  </si>
  <si>
    <t>imagen a color</t>
  </si>
  <si>
    <t>Blanco y negro</t>
  </si>
  <si>
    <t>resize</t>
  </si>
  <si>
    <t>APLANADO</t>
  </si>
  <si>
    <t>ESTANDARIZADA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</si>
</sst>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0" fillId="2" borderId="9" xfId="0" applyFill="1" applyBorder="1"/>
    <xf numFmtId="0" fontId="0" fillId="3" borderId="2" xfId="0" applyFill="1" applyBorder="1"/>
    <xf numFmtId="0" fontId="0" fillId="3" borderId="10" xfId="0" applyFill="1" applyBorder="1"/>
    <xf numFmtId="0" fontId="0" fillId="4" borderId="2" xfId="0" applyFill="1" applyBorder="1"/>
    <xf numFmtId="0" fontId="0" fillId="4" borderId="10" xfId="0" applyFill="1" applyBorder="1"/>
    <xf numFmtId="0" fontId="0" fillId="5" borderId="3" xfId="0" applyFill="1" applyBorder="1"/>
    <xf numFmtId="0" fontId="0" fillId="5" borderId="11" xfId="0" applyFill="1" applyBorder="1"/>
    <xf numFmtId="0" fontId="0" fillId="5" borderId="0" xfId="0" applyFill="1"/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6" borderId="0" xfId="0" applyFont="1" applyFill="1"/>
    <xf numFmtId="0" fontId="1" fillId="8" borderId="0" xfId="0" applyFont="1" applyFill="1"/>
    <xf numFmtId="0" fontId="0" fillId="8" borderId="12" xfId="0" applyFill="1" applyBorder="1"/>
    <xf numFmtId="0" fontId="0" fillId="0" borderId="13" xfId="0" applyBorder="1"/>
    <xf numFmtId="0" fontId="0" fillId="6" borderId="14" xfId="0" applyFill="1" applyBorder="1"/>
    <xf numFmtId="0" fontId="0" fillId="6" borderId="15" xfId="0" applyFill="1" applyBorder="1"/>
    <xf numFmtId="0" fontId="0" fillId="9" borderId="0" xfId="0" applyFill="1"/>
    <xf numFmtId="0" fontId="1" fillId="10" borderId="0" xfId="0" applyFont="1" applyFill="1"/>
    <xf numFmtId="0" fontId="0" fillId="10" borderId="0" xfId="0" applyFill="1"/>
    <xf numFmtId="0" fontId="0" fillId="10" borderId="15" xfId="0" applyFill="1" applyBorder="1"/>
    <xf numFmtId="0" fontId="1" fillId="11" borderId="0" xfId="0" applyFont="1" applyFill="1"/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2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89F7-6E00-4A05-B690-6D27F580C5CF}">
  <dimension ref="A1:H27"/>
  <sheetViews>
    <sheetView tabSelected="1" zoomScaleNormal="100" workbookViewId="0">
      <selection activeCell="H1" sqref="H1"/>
    </sheetView>
  </sheetViews>
  <sheetFormatPr baseColWidth="10" defaultRowHeight="15" x14ac:dyDescent="0.25"/>
  <cols>
    <col min="1" max="1" width="47.28515625" bestFit="1" customWidth="1"/>
    <col min="2" max="2" width="11.85546875" bestFit="1" customWidth="1"/>
    <col min="3" max="6" width="11.85546875" customWidth="1"/>
  </cols>
  <sheetData>
    <row r="1" spans="1:8" x14ac:dyDescent="0.25">
      <c r="B1" s="1" t="s">
        <v>0</v>
      </c>
      <c r="C1" s="3" t="s">
        <v>2</v>
      </c>
      <c r="D1" t="s">
        <v>6</v>
      </c>
      <c r="E1" t="s">
        <v>7</v>
      </c>
      <c r="F1" t="s">
        <v>8</v>
      </c>
      <c r="H1" s="10" t="s">
        <v>17</v>
      </c>
    </row>
    <row r="2" spans="1:8" x14ac:dyDescent="0.25">
      <c r="B2" s="4">
        <v>-0.419657192760717</v>
      </c>
      <c r="C2" s="6">
        <v>-3.5556724682674457E-2</v>
      </c>
      <c r="D2">
        <f>B2^2</f>
        <v>0.17611215943580558</v>
      </c>
      <c r="E2">
        <f>C2^2</f>
        <v>1.264280670159511E-3</v>
      </c>
      <c r="F2">
        <f>B2*C2</f>
        <v>1.4921635264096858E-2</v>
      </c>
      <c r="H2" s="11">
        <f>B2+C2</f>
        <v>-0.45521391744339146</v>
      </c>
    </row>
    <row r="3" spans="1:8" x14ac:dyDescent="0.25">
      <c r="B3" s="4">
        <v>9.2910962113371909E-2</v>
      </c>
      <c r="C3" s="6">
        <v>-0.19406377315871259</v>
      </c>
      <c r="D3">
        <f t="shared" ref="D3:D13" si="0">B3^2</f>
        <v>8.6324468808324298E-3</v>
      </c>
      <c r="E3">
        <f t="shared" ref="E3:E13" si="1">C3^2</f>
        <v>3.7660748052596262E-2</v>
      </c>
      <c r="F3">
        <f>B3*C3</f>
        <v>-1.8030651875527146E-2</v>
      </c>
      <c r="H3" s="11">
        <f t="shared" ref="H3:H13" si="2">B3+C3</f>
        <v>-0.10115281104534068</v>
      </c>
    </row>
    <row r="4" spans="1:8" x14ac:dyDescent="0.25">
      <c r="B4" s="4">
        <v>0.23917967560512288</v>
      </c>
      <c r="C4" s="6">
        <v>0.27200542845089426</v>
      </c>
      <c r="D4">
        <f t="shared" si="0"/>
        <v>5.7206917222571811E-2</v>
      </c>
      <c r="E4">
        <f t="shared" si="1"/>
        <v>7.3986953106754558E-2</v>
      </c>
      <c r="F4">
        <f t="shared" ref="F4:F13" si="3">B4*C4</f>
        <v>6.5058170139717347E-2</v>
      </c>
      <c r="H4" s="11">
        <f t="shared" si="2"/>
        <v>0.51118510405601714</v>
      </c>
    </row>
    <row r="5" spans="1:8" x14ac:dyDescent="0.25">
      <c r="B5" s="4">
        <v>0.31331812906807643</v>
      </c>
      <c r="C5" s="6">
        <v>-0.54317850356876241</v>
      </c>
      <c r="D5">
        <f t="shared" si="0"/>
        <v>9.8168250002719809E-2</v>
      </c>
      <c r="E5">
        <f t="shared" si="1"/>
        <v>0.29504288673920004</v>
      </c>
      <c r="F5">
        <f t="shared" si="3"/>
        <v>-0.17018767248816211</v>
      </c>
      <c r="H5" s="11">
        <f t="shared" si="2"/>
        <v>-0.22986037450068597</v>
      </c>
    </row>
    <row r="6" spans="1:8" x14ac:dyDescent="0.25">
      <c r="B6" s="4">
        <v>-7.2756322612789859E-2</v>
      </c>
      <c r="C6" s="6">
        <v>-1.0032917702308297E-2</v>
      </c>
      <c r="D6">
        <f t="shared" si="0"/>
        <v>5.2934824801363573E-3</v>
      </c>
      <c r="E6">
        <f t="shared" si="1"/>
        <v>1.006594376212912E-4</v>
      </c>
      <c r="F6">
        <f t="shared" si="3"/>
        <v>7.2995819709671282E-4</v>
      </c>
      <c r="H6" s="11">
        <f t="shared" si="2"/>
        <v>-8.2789240315098156E-2</v>
      </c>
    </row>
    <row r="7" spans="1:8" x14ac:dyDescent="0.25">
      <c r="B7" s="4">
        <v>0.350075460573403</v>
      </c>
      <c r="C7" s="6">
        <v>0.36425712840179181</v>
      </c>
      <c r="D7">
        <f t="shared" si="0"/>
        <v>0.12255282809568023</v>
      </c>
      <c r="E7">
        <f t="shared" si="1"/>
        <v>0.13268325559151944</v>
      </c>
      <c r="F7">
        <f t="shared" si="3"/>
        <v>0.12751748199240245</v>
      </c>
      <c r="H7" s="11">
        <f t="shared" si="2"/>
        <v>0.7143325889751948</v>
      </c>
    </row>
    <row r="8" spans="1:8" x14ac:dyDescent="0.25">
      <c r="B8" s="4">
        <v>0.26899688382831544</v>
      </c>
      <c r="C8" s="6">
        <v>-0.55186731864866745</v>
      </c>
      <c r="D8">
        <f t="shared" si="0"/>
        <v>7.2359323509344237E-2</v>
      </c>
      <c r="E8">
        <f t="shared" si="1"/>
        <v>0.30455753739246988</v>
      </c>
      <c r="F8">
        <f t="shared" si="3"/>
        <v>-0.14845058900317953</v>
      </c>
      <c r="H8" s="11">
        <f t="shared" si="2"/>
        <v>-0.28287043482035201</v>
      </c>
    </row>
    <row r="9" spans="1:8" x14ac:dyDescent="0.25">
      <c r="B9" s="4">
        <v>-0.39874539421105581</v>
      </c>
      <c r="C9" s="6">
        <v>-0.14673165843437908</v>
      </c>
      <c r="D9">
        <f t="shared" si="0"/>
        <v>0.1589978894045303</v>
      </c>
      <c r="E9">
        <f t="shared" si="1"/>
        <v>2.1530179586903286E-2</v>
      </c>
      <c r="F9">
        <f t="shared" si="3"/>
        <v>5.850857298565848E-2</v>
      </c>
      <c r="H9" s="11">
        <f t="shared" si="2"/>
        <v>-0.54547705264543489</v>
      </c>
    </row>
    <row r="10" spans="1:8" x14ac:dyDescent="0.25">
      <c r="B10" s="4">
        <v>0.14746474474458504</v>
      </c>
      <c r="C10" s="6">
        <v>0.22339327650419394</v>
      </c>
      <c r="D10">
        <f t="shared" si="0"/>
        <v>2.1745850942585621E-2</v>
      </c>
      <c r="E10">
        <f t="shared" si="1"/>
        <v>4.9904555987279248E-2</v>
      </c>
      <c r="F10">
        <f t="shared" si="3"/>
        <v>3.2942632497347468E-2</v>
      </c>
      <c r="H10" s="11">
        <f t="shared" si="2"/>
        <v>0.37085802124877898</v>
      </c>
    </row>
    <row r="11" spans="1:8" x14ac:dyDescent="0.25">
      <c r="B11" s="4">
        <v>0.17956991057063965</v>
      </c>
      <c r="C11" s="6">
        <v>0.17293439491211182</v>
      </c>
      <c r="D11">
        <f t="shared" si="0"/>
        <v>3.2245352782347518E-2</v>
      </c>
      <c r="E11">
        <f t="shared" si="1"/>
        <v>2.9906304943618248E-2</v>
      </c>
      <c r="F11">
        <f t="shared" si="3"/>
        <v>3.1053813828955598E-2</v>
      </c>
      <c r="H11" s="11">
        <f t="shared" si="2"/>
        <v>0.35250430548275147</v>
      </c>
    </row>
    <row r="12" spans="1:8" x14ac:dyDescent="0.25">
      <c r="B12" s="4">
        <v>-0.2295142358092187</v>
      </c>
      <c r="C12" s="6">
        <v>0.31277475138169852</v>
      </c>
      <c r="D12">
        <f t="shared" si="0"/>
        <v>5.2676784439089651E-2</v>
      </c>
      <c r="E12">
        <f t="shared" si="1"/>
        <v>9.7828045101883324E-2</v>
      </c>
      <c r="F12">
        <f t="shared" si="3"/>
        <v>-7.1786258043788909E-2</v>
      </c>
      <c r="H12" s="11">
        <f t="shared" si="2"/>
        <v>8.3260515572479821E-2</v>
      </c>
    </row>
    <row r="13" spans="1:8" ht="15.75" thickBot="1" x14ac:dyDescent="0.3">
      <c r="B13" s="7">
        <v>-0.47084262110973418</v>
      </c>
      <c r="C13" s="9">
        <v>0.13606591654481326</v>
      </c>
      <c r="D13">
        <f t="shared" si="0"/>
        <v>0.22169277385348471</v>
      </c>
      <c r="E13">
        <f t="shared" si="1"/>
        <v>1.8513933645180086E-2</v>
      </c>
      <c r="F13">
        <f t="shared" si="3"/>
        <v>-6.4065632789658225E-2</v>
      </c>
      <c r="H13" s="12">
        <f t="shared" si="2"/>
        <v>-0.33477670456492092</v>
      </c>
    </row>
    <row r="15" spans="1:8" x14ac:dyDescent="0.25">
      <c r="A15" t="s">
        <v>1</v>
      </c>
      <c r="B15">
        <v>11</v>
      </c>
    </row>
    <row r="16" spans="1:8" x14ac:dyDescent="0.25">
      <c r="A16" t="s">
        <v>11</v>
      </c>
      <c r="B16">
        <f>AVERAGE(B2:B13)</f>
        <v>-1.0177044392397268E-16</v>
      </c>
      <c r="C16">
        <f>AVERAGE(C2:C13)</f>
        <v>-5.5511151231257827E-17</v>
      </c>
    </row>
    <row r="17" spans="1:6" x14ac:dyDescent="0.25">
      <c r="A17" t="s">
        <v>12</v>
      </c>
      <c r="B17">
        <f>_xlfn.VAR.S(B2:B13)</f>
        <v>9.3425823549920753E-2</v>
      </c>
      <c r="C17">
        <f>_xlfn.VAR.S(C2:C13)</f>
        <v>9.6634485477744114E-2</v>
      </c>
    </row>
    <row r="18" spans="1:6" x14ac:dyDescent="0.25">
      <c r="A18" t="s">
        <v>3</v>
      </c>
      <c r="B18" s="22">
        <f>_xlfn.COVARIANCE.S(B2:B13,C2:C13)</f>
        <v>-1.2889867208640094E-2</v>
      </c>
      <c r="C18" s="22"/>
    </row>
    <row r="19" spans="1:6" x14ac:dyDescent="0.25">
      <c r="A19" t="s">
        <v>5</v>
      </c>
      <c r="B19" s="22">
        <f>CORREL(B2:B13,C2:C13)</f>
        <v>-0.13565909219925631</v>
      </c>
      <c r="C19" s="22"/>
    </row>
    <row r="20" spans="1:6" x14ac:dyDescent="0.25">
      <c r="A20" t="s">
        <v>9</v>
      </c>
      <c r="D20">
        <f>SQRT(SUM(D2:D13))</f>
        <v>1.0137475322037179</v>
      </c>
    </row>
    <row r="21" spans="1:6" x14ac:dyDescent="0.25">
      <c r="A21" t="s">
        <v>10</v>
      </c>
      <c r="E21">
        <f>SQRT(SUM(E2:E13))</f>
        <v>1.0310088943627913</v>
      </c>
    </row>
    <row r="22" spans="1:6" x14ac:dyDescent="0.25">
      <c r="A22" t="s">
        <v>4</v>
      </c>
      <c r="F22">
        <f>SUM(F2:F13)</f>
        <v>-0.14178853929504101</v>
      </c>
    </row>
    <row r="25" spans="1:6" x14ac:dyDescent="0.25">
      <c r="A25" t="s">
        <v>13</v>
      </c>
      <c r="B25">
        <f>D20^2/B15</f>
        <v>9.3425823549920739E-2</v>
      </c>
    </row>
    <row r="26" spans="1:6" x14ac:dyDescent="0.25">
      <c r="A26" t="s">
        <v>14</v>
      </c>
      <c r="B26">
        <f>F22/B15</f>
        <v>-1.2889867208640092E-2</v>
      </c>
    </row>
    <row r="27" spans="1:6" x14ac:dyDescent="0.25">
      <c r="A27" t="s">
        <v>15</v>
      </c>
      <c r="B27">
        <f>F22/(D20*E21)</f>
        <v>-0.13565909219925626</v>
      </c>
    </row>
  </sheetData>
  <mergeCells count="2">
    <mergeCell ref="B19:C19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A223-3AC3-41A5-923D-E1A1BDB2B54C}">
  <dimension ref="A3:I11"/>
  <sheetViews>
    <sheetView workbookViewId="0">
      <selection activeCell="G7" sqref="G7"/>
    </sheetView>
  </sheetViews>
  <sheetFormatPr baseColWidth="10" defaultRowHeight="15" x14ac:dyDescent="0.25"/>
  <cols>
    <col min="6" max="6" width="2.85546875" customWidth="1"/>
    <col min="8" max="8" width="7" customWidth="1"/>
  </cols>
  <sheetData>
    <row r="3" spans="1:9" ht="15.75" thickBot="1" x14ac:dyDescent="0.3">
      <c r="G3" t="s">
        <v>33</v>
      </c>
    </row>
    <row r="4" spans="1:9" x14ac:dyDescent="0.25">
      <c r="A4">
        <v>1</v>
      </c>
      <c r="B4" s="13"/>
      <c r="C4" s="15"/>
      <c r="D4" s="17"/>
      <c r="E4" s="19"/>
      <c r="G4" s="14" t="s">
        <v>29</v>
      </c>
      <c r="H4" s="23" t="s">
        <v>16</v>
      </c>
      <c r="I4" s="10"/>
    </row>
    <row r="5" spans="1:9" x14ac:dyDescent="0.25">
      <c r="A5">
        <v>1</v>
      </c>
      <c r="B5" s="4"/>
      <c r="C5" s="5"/>
      <c r="D5" s="5"/>
      <c r="E5" s="6"/>
      <c r="G5" s="16" t="s">
        <v>30</v>
      </c>
      <c r="H5" s="23"/>
      <c r="I5" s="11"/>
    </row>
    <row r="6" spans="1:9" x14ac:dyDescent="0.25">
      <c r="A6">
        <v>1</v>
      </c>
      <c r="B6" s="4"/>
      <c r="C6" s="5"/>
      <c r="D6" s="5"/>
      <c r="E6" s="6"/>
      <c r="G6" s="18" t="s">
        <v>31</v>
      </c>
      <c r="H6" s="23"/>
      <c r="I6" s="11"/>
    </row>
    <row r="7" spans="1:9" ht="15.75" thickBot="1" x14ac:dyDescent="0.3">
      <c r="A7">
        <v>1</v>
      </c>
      <c r="B7" s="4"/>
      <c r="C7" s="5"/>
      <c r="D7" s="5"/>
      <c r="E7" s="6"/>
      <c r="G7" s="20" t="s">
        <v>32</v>
      </c>
      <c r="H7" s="23"/>
      <c r="I7" s="11"/>
    </row>
    <row r="8" spans="1:9" x14ac:dyDescent="0.25">
      <c r="A8">
        <v>1</v>
      </c>
      <c r="B8" s="4"/>
      <c r="C8" s="5"/>
      <c r="D8" s="5"/>
      <c r="E8" s="6"/>
      <c r="H8" s="23"/>
      <c r="I8" s="11"/>
    </row>
    <row r="9" spans="1:9" x14ac:dyDescent="0.25">
      <c r="A9">
        <v>1</v>
      </c>
      <c r="B9" s="4"/>
      <c r="C9" s="5"/>
      <c r="D9" s="5"/>
      <c r="E9" s="6"/>
      <c r="H9" s="23"/>
      <c r="I9" s="11"/>
    </row>
    <row r="10" spans="1:9" x14ac:dyDescent="0.25">
      <c r="A10">
        <v>1</v>
      </c>
      <c r="B10" s="4"/>
      <c r="C10" s="5"/>
      <c r="D10" s="5"/>
      <c r="E10" s="6"/>
      <c r="H10" s="23"/>
      <c r="I10" s="11"/>
    </row>
    <row r="11" spans="1:9" ht="15.75" thickBot="1" x14ac:dyDescent="0.3">
      <c r="A11">
        <v>1</v>
      </c>
      <c r="B11" s="7"/>
      <c r="C11" s="8"/>
      <c r="D11" s="8"/>
      <c r="E11" s="9"/>
      <c r="H11" s="23"/>
      <c r="I11" s="12"/>
    </row>
  </sheetData>
  <mergeCells count="1">
    <mergeCell ref="H4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15D2-EF7B-4A34-9256-364387B6C994}">
  <dimension ref="A1:AL22"/>
  <sheetViews>
    <sheetView workbookViewId="0"/>
  </sheetViews>
  <sheetFormatPr baseColWidth="10" defaultRowHeight="15" x14ac:dyDescent="0.25"/>
  <cols>
    <col min="6" max="6" width="12" bestFit="1" customWidth="1"/>
  </cols>
  <sheetData>
    <row r="1" spans="1:38" ht="15.75" thickBot="1" x14ac:dyDescent="0.3">
      <c r="A1" s="1" t="s">
        <v>18</v>
      </c>
      <c r="B1" s="2" t="s">
        <v>19</v>
      </c>
      <c r="C1" s="2" t="s">
        <v>20</v>
      </c>
      <c r="D1" s="3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38" x14ac:dyDescent="0.25">
      <c r="A2" s="4">
        <v>0.36978412507416669</v>
      </c>
      <c r="B2" s="5">
        <v>0.28802688487724515</v>
      </c>
      <c r="C2" s="5">
        <v>0.42992450207662392</v>
      </c>
      <c r="D2" s="6">
        <v>0.91279250843695992</v>
      </c>
      <c r="F2">
        <f>(A2-AVERAGE($A$2:$A$19))/_xlfn.STDEV.S($A$2:$A$19)</f>
        <v>-0.60977737910551344</v>
      </c>
      <c r="G2">
        <f>(B2-AVERAGE($B$2:$B$19))/_xlfn.STDEV.S($B$2:$B$19)</f>
        <v>-0.46694743748327316</v>
      </c>
      <c r="H2">
        <f>(C2-AVERAGE($C$2:$C$19))/_xlfn.STDEV.S($C$2:$C$19)</f>
        <v>-0.28844963475574387</v>
      </c>
      <c r="I2">
        <f>(D2-AVERAGE($D$2:$D$19))/_xlfn.STDEV.S($D$2:$D$19)</f>
        <v>0.87112007312213646</v>
      </c>
      <c r="K2" s="1">
        <v>-0.60977737910551344</v>
      </c>
      <c r="L2" s="2">
        <v>-1.7007255964862698</v>
      </c>
      <c r="M2" s="2">
        <v>-1.5682904967773217</v>
      </c>
      <c r="N2" s="2">
        <v>1.2586503858528182</v>
      </c>
      <c r="O2" s="2">
        <v>0.81624259751745898</v>
      </c>
      <c r="P2" s="2">
        <v>0.12150039474680011</v>
      </c>
      <c r="Q2" s="2">
        <v>8.020800137410565E-2</v>
      </c>
      <c r="R2" s="2">
        <v>-0.29233478559780196</v>
      </c>
      <c r="S2" s="2">
        <v>-1.4525279576588146</v>
      </c>
      <c r="T2" s="2">
        <v>-1.92312783280616E-2</v>
      </c>
      <c r="U2" s="2">
        <v>0.67440568476030693</v>
      </c>
      <c r="V2" s="2">
        <v>0.80139979954818719</v>
      </c>
      <c r="W2" s="2">
        <v>1.3671817059336933</v>
      </c>
      <c r="X2" s="2">
        <v>1.0748100767277713</v>
      </c>
      <c r="Y2" s="2">
        <v>-0.10884128554625459</v>
      </c>
      <c r="Z2" s="2">
        <v>0.94416822551173107</v>
      </c>
      <c r="AA2" s="2">
        <v>-1.3346780960245954</v>
      </c>
      <c r="AB2" s="3">
        <v>-5.2159996448233902E-2</v>
      </c>
      <c r="AD2" s="1">
        <v>-0.60977737910551344</v>
      </c>
      <c r="AE2" s="2">
        <v>-0.46694743748327316</v>
      </c>
      <c r="AF2" s="2">
        <v>-0.28844963475574387</v>
      </c>
      <c r="AG2" s="3">
        <v>0.87112007312213646</v>
      </c>
      <c r="AI2" cm="1">
        <f t="array" ref="AI2:AL5">MMULT(K2:AB5,AD2:AG19)/17</f>
        <v>0.99999999999999878</v>
      </c>
      <c r="AJ2">
        <v>-0.40631904156245735</v>
      </c>
      <c r="AK2">
        <v>0.32950204279131218</v>
      </c>
      <c r="AL2">
        <v>-0.21024909080413834</v>
      </c>
    </row>
    <row r="3" spans="1:38" x14ac:dyDescent="0.25">
      <c r="A3" s="4">
        <v>3.1526294708852931E-2</v>
      </c>
      <c r="B3" s="5">
        <v>0.69688279783885421</v>
      </c>
      <c r="C3" s="5">
        <v>0.55832726104569697</v>
      </c>
      <c r="D3" s="6">
        <v>0.53096945548816721</v>
      </c>
      <c r="F3">
        <f t="shared" ref="F3:F19" si="0">(A3-AVERAGE($A$2:$A$19))/_xlfn.STDEV.S($A$2:$A$19)</f>
        <v>-1.7007255964862698</v>
      </c>
      <c r="G3">
        <f t="shared" ref="G3:G19" si="1">(B3-AVERAGE($B$2:$B$19))/_xlfn.STDEV.S($B$2:$B$19)</f>
        <v>0.87914040786848091</v>
      </c>
      <c r="H3">
        <f t="shared" ref="H3:H19" si="2">(C3-AVERAGE($C$2:$C$19))/_xlfn.STDEV.S($C$2:$C$19)</f>
        <v>0.17869779768586241</v>
      </c>
      <c r="I3">
        <f t="shared" ref="I3:I19" si="3">(D3-AVERAGE($D$2:$D$19))/_xlfn.STDEV.S($D$2:$D$19)</f>
        <v>-0.42150706356787199</v>
      </c>
      <c r="K3" s="4">
        <v>-0.46694743748327316</v>
      </c>
      <c r="L3" s="5">
        <v>0.87914040786848091</v>
      </c>
      <c r="M3" s="5">
        <v>1.7576620368779072</v>
      </c>
      <c r="N3" s="5">
        <v>1.5978012036916525</v>
      </c>
      <c r="O3" s="5">
        <v>0.56298606466970447</v>
      </c>
      <c r="P3" s="5">
        <v>-0.88698165988598632</v>
      </c>
      <c r="Q3" s="5">
        <v>2.8704570076432123E-2</v>
      </c>
      <c r="R3" s="5">
        <v>0.36646440508193906</v>
      </c>
      <c r="S3" s="5">
        <v>1.7405770024002925</v>
      </c>
      <c r="T3" s="5">
        <v>-0.63686516259228021</v>
      </c>
      <c r="U3" s="5">
        <v>0.78630899457602577</v>
      </c>
      <c r="V3" s="5">
        <v>-1.2113625601603217</v>
      </c>
      <c r="W3" s="5">
        <v>-0.98015027721657344</v>
      </c>
      <c r="X3" s="5">
        <v>-0.68077671965388697</v>
      </c>
      <c r="Y3" s="5">
        <v>-0.75759788504924264</v>
      </c>
      <c r="Z3" s="5">
        <v>-0.99838448187895601</v>
      </c>
      <c r="AA3" s="5">
        <v>-0.49320577925016096</v>
      </c>
      <c r="AB3" s="6">
        <v>-0.60737272207175486</v>
      </c>
      <c r="AD3" s="4">
        <v>-1.7007255964862698</v>
      </c>
      <c r="AE3" s="5">
        <v>0.87914040786848091</v>
      </c>
      <c r="AF3" s="5">
        <v>0.17869779768586241</v>
      </c>
      <c r="AG3" s="6">
        <v>-0.42150706356787199</v>
      </c>
      <c r="AI3">
        <v>-0.40631904156245735</v>
      </c>
      <c r="AJ3">
        <v>1.0000000000000002</v>
      </c>
      <c r="AK3">
        <v>-0.11713060112025821</v>
      </c>
      <c r="AL3">
        <v>-5.9304976867947314E-2</v>
      </c>
    </row>
    <row r="4" spans="1:38" x14ac:dyDescent="0.25">
      <c r="A4" s="4">
        <v>7.2588930659911899E-2</v>
      </c>
      <c r="B4" s="5">
        <v>0.96372181872854012</v>
      </c>
      <c r="C4" s="5">
        <v>0.22025472725399309</v>
      </c>
      <c r="D4" s="6">
        <v>0.9013265840343363</v>
      </c>
      <c r="F4">
        <f t="shared" si="0"/>
        <v>-1.5682904967773217</v>
      </c>
      <c r="G4">
        <f t="shared" si="1"/>
        <v>1.7576620368779072</v>
      </c>
      <c r="H4">
        <f t="shared" si="2"/>
        <v>-1.0512579868145424</v>
      </c>
      <c r="I4">
        <f t="shared" si="3"/>
        <v>0.83230323135314266</v>
      </c>
      <c r="K4" s="4">
        <v>-0.28844963475574387</v>
      </c>
      <c r="L4" s="5">
        <v>0.17869779768586241</v>
      </c>
      <c r="M4" s="5">
        <v>-1.0512579868145424</v>
      </c>
      <c r="N4" s="5">
        <v>1.740945103766034</v>
      </c>
      <c r="O4" s="5">
        <v>-1.6864776066089602</v>
      </c>
      <c r="P4" s="5">
        <v>0.90653970261758543</v>
      </c>
      <c r="Q4" s="5">
        <v>0.70341359786540947</v>
      </c>
      <c r="R4" s="5">
        <v>0.42088408536668936</v>
      </c>
      <c r="S4" s="5">
        <v>-0.3893330929715082</v>
      </c>
      <c r="T4" s="5">
        <v>-1.3643059921070366</v>
      </c>
      <c r="U4" s="5">
        <v>-0.15288000376285479</v>
      </c>
      <c r="V4" s="5">
        <v>0.33448342432359518</v>
      </c>
      <c r="W4" s="5">
        <v>1.1225466310449859</v>
      </c>
      <c r="X4" s="5">
        <v>-0.35330671560873422</v>
      </c>
      <c r="Y4" s="5">
        <v>1.3473353276517332</v>
      </c>
      <c r="Z4" s="5">
        <v>0.63627591571661435</v>
      </c>
      <c r="AA4" s="5">
        <v>-0.58251710388782019</v>
      </c>
      <c r="AB4" s="6">
        <v>-1.5225934495213056</v>
      </c>
      <c r="AD4" s="4">
        <v>-1.5682904967773217</v>
      </c>
      <c r="AE4" s="5">
        <v>1.7576620368779072</v>
      </c>
      <c r="AF4" s="5">
        <v>-1.0512579868145424</v>
      </c>
      <c r="AG4" s="6">
        <v>0.83230323135314266</v>
      </c>
      <c r="AI4">
        <v>0.32950204279131218</v>
      </c>
      <c r="AJ4">
        <v>-0.11713060112025821</v>
      </c>
      <c r="AK4">
        <v>1.0000000000000004</v>
      </c>
      <c r="AL4">
        <v>-3.2751317834869911E-2</v>
      </c>
    </row>
    <row r="5" spans="1:38" ht="15.75" thickBot="1" x14ac:dyDescent="0.3">
      <c r="A5" s="4">
        <v>0.94910614228824053</v>
      </c>
      <c r="B5" s="5">
        <v>0.91516626039342264</v>
      </c>
      <c r="C5" s="5">
        <v>0.9877353030513023</v>
      </c>
      <c r="D5" s="6">
        <v>0.52650105502518207</v>
      </c>
      <c r="F5">
        <f t="shared" si="0"/>
        <v>1.2586503858528182</v>
      </c>
      <c r="G5">
        <f t="shared" si="1"/>
        <v>1.5978012036916525</v>
      </c>
      <c r="H5">
        <f t="shared" si="2"/>
        <v>1.740945103766034</v>
      </c>
      <c r="I5">
        <f t="shared" si="3"/>
        <v>-0.43663442597159624</v>
      </c>
      <c r="K5" s="7">
        <v>0.87112007312213646</v>
      </c>
      <c r="L5" s="8">
        <v>-0.42150706356787199</v>
      </c>
      <c r="M5" s="8">
        <v>0.83230323135314266</v>
      </c>
      <c r="N5" s="8">
        <v>-0.43663442597159624</v>
      </c>
      <c r="O5" s="8">
        <v>-1.1526627057073855</v>
      </c>
      <c r="P5" s="8">
        <v>0.37238559695458973</v>
      </c>
      <c r="Q5" s="8">
        <v>0.56913654215009246</v>
      </c>
      <c r="R5" s="8">
        <v>-1.8606853572583912</v>
      </c>
      <c r="S5" s="8">
        <v>0.85003929857398774</v>
      </c>
      <c r="T5" s="8">
        <v>0.96206815422815894</v>
      </c>
      <c r="U5" s="8">
        <v>4.2831692561948369E-3</v>
      </c>
      <c r="V5" s="8">
        <v>0.78564356911288014</v>
      </c>
      <c r="W5" s="8">
        <v>0.75655869517251895</v>
      </c>
      <c r="X5" s="8">
        <v>-1.2747651067381385</v>
      </c>
      <c r="Y5" s="8">
        <v>-1.4957186146667709</v>
      </c>
      <c r="Z5" s="8">
        <v>0.69547383757233616</v>
      </c>
      <c r="AA5" s="8">
        <v>1.1422594779837851</v>
      </c>
      <c r="AB5" s="9">
        <v>-1.1992983715696592</v>
      </c>
      <c r="AD5" s="4">
        <v>1.2586503858528182</v>
      </c>
      <c r="AE5" s="5">
        <v>1.5978012036916525</v>
      </c>
      <c r="AF5" s="5">
        <v>1.740945103766034</v>
      </c>
      <c r="AG5" s="6">
        <v>-0.43663442597159624</v>
      </c>
      <c r="AI5">
        <v>-0.21024909080413834</v>
      </c>
      <c r="AJ5">
        <v>-5.9304976867947314E-2</v>
      </c>
      <c r="AK5">
        <v>-3.2751317834869911E-2</v>
      </c>
      <c r="AL5">
        <v>0.999999999999999</v>
      </c>
    </row>
    <row r="6" spans="1:38" x14ac:dyDescent="0.25">
      <c r="A6" s="4">
        <v>0.81193382170062978</v>
      </c>
      <c r="B6" s="5">
        <v>0.60085520716438712</v>
      </c>
      <c r="C6" s="5">
        <v>4.5654705786285721E-2</v>
      </c>
      <c r="D6" s="6">
        <v>0.31499682769906512</v>
      </c>
      <c r="F6">
        <f t="shared" si="0"/>
        <v>0.81624259751745898</v>
      </c>
      <c r="G6">
        <f t="shared" si="1"/>
        <v>0.56298606466970447</v>
      </c>
      <c r="H6">
        <f t="shared" si="2"/>
        <v>-1.6864776066089602</v>
      </c>
      <c r="I6">
        <f t="shared" si="3"/>
        <v>-1.1526627057073855</v>
      </c>
      <c r="AD6" s="4">
        <v>0.81624259751745898</v>
      </c>
      <c r="AE6" s="5">
        <v>0.56298606466970447</v>
      </c>
      <c r="AF6" s="5">
        <v>-1.6864776066089602</v>
      </c>
      <c r="AG6" s="6">
        <v>-1.1526627057073855</v>
      </c>
    </row>
    <row r="7" spans="1:38" x14ac:dyDescent="0.25">
      <c r="A7" s="4">
        <v>0.59652305661717309</v>
      </c>
      <c r="B7" s="5">
        <v>0.16044719082636827</v>
      </c>
      <c r="C7" s="5">
        <v>0.75838596242413425</v>
      </c>
      <c r="D7" s="6">
        <v>0.76547367619525586</v>
      </c>
      <c r="F7">
        <f t="shared" si="0"/>
        <v>0.12150039474680011</v>
      </c>
      <c r="G7">
        <f t="shared" si="1"/>
        <v>-0.88698165988598632</v>
      </c>
      <c r="H7">
        <f t="shared" si="2"/>
        <v>0.90653970261758543</v>
      </c>
      <c r="I7">
        <f t="shared" si="3"/>
        <v>0.37238559695458973</v>
      </c>
      <c r="AD7" s="4">
        <v>0.12150039474680011</v>
      </c>
      <c r="AE7" s="5">
        <v>-0.88698165988598632</v>
      </c>
      <c r="AF7" s="5">
        <v>0.90653970261758543</v>
      </c>
      <c r="AG7" s="6">
        <v>0.37238559695458973</v>
      </c>
    </row>
    <row r="8" spans="1:38" x14ac:dyDescent="0.25">
      <c r="A8" s="4">
        <v>0.58371999670075192</v>
      </c>
      <c r="B8" s="5">
        <v>0.43857445483106339</v>
      </c>
      <c r="C8" s="5">
        <v>0.70255358391249467</v>
      </c>
      <c r="D8" s="6">
        <v>0.82359101292197456</v>
      </c>
      <c r="F8">
        <f t="shared" si="0"/>
        <v>8.020800137410565E-2</v>
      </c>
      <c r="G8">
        <f t="shared" si="1"/>
        <v>2.8704570076432123E-2</v>
      </c>
      <c r="H8">
        <f t="shared" si="2"/>
        <v>0.70341359786540947</v>
      </c>
      <c r="I8">
        <f t="shared" si="3"/>
        <v>0.56913654215009246</v>
      </c>
      <c r="AD8" s="4">
        <v>8.020800137410565E-2</v>
      </c>
      <c r="AE8" s="5">
        <v>2.8704570076432123E-2</v>
      </c>
      <c r="AF8" s="5">
        <v>0.70341359786540947</v>
      </c>
      <c r="AG8" s="6">
        <v>0.56913654215009246</v>
      </c>
    </row>
    <row r="9" spans="1:38" x14ac:dyDescent="0.25">
      <c r="A9" s="4">
        <v>0.46820991764135</v>
      </c>
      <c r="B9" s="5">
        <v>0.54116442039668555</v>
      </c>
      <c r="C9" s="5">
        <v>0.62489594014591443</v>
      </c>
      <c r="D9" s="6">
        <v>0.10585734524602441</v>
      </c>
      <c r="F9">
        <f t="shared" si="0"/>
        <v>-0.29233478559780196</v>
      </c>
      <c r="G9">
        <f t="shared" si="1"/>
        <v>0.36646440508193906</v>
      </c>
      <c r="H9">
        <f t="shared" si="2"/>
        <v>0.42088408536668936</v>
      </c>
      <c r="I9">
        <f t="shared" si="3"/>
        <v>-1.8606853572583912</v>
      </c>
      <c r="AD9" s="4">
        <v>-0.29233478559780196</v>
      </c>
      <c r="AE9" s="5">
        <v>0.36646440508193906</v>
      </c>
      <c r="AF9" s="5">
        <v>0.42088408536668936</v>
      </c>
      <c r="AG9" s="6">
        <v>-1.8606853572583912</v>
      </c>
    </row>
    <row r="10" spans="1:38" x14ac:dyDescent="0.25">
      <c r="A10" s="4">
        <v>0.10848209652787488</v>
      </c>
      <c r="B10" s="5">
        <v>0.9585324713962341</v>
      </c>
      <c r="C10" s="5">
        <v>0.40219510987694707</v>
      </c>
      <c r="D10" s="6">
        <v>0.90656555754908785</v>
      </c>
      <c r="F10">
        <f t="shared" si="0"/>
        <v>-1.4525279576588146</v>
      </c>
      <c r="G10">
        <f t="shared" si="1"/>
        <v>1.7405770024002925</v>
      </c>
      <c r="H10">
        <f t="shared" si="2"/>
        <v>-0.3893330929715082</v>
      </c>
      <c r="I10">
        <f t="shared" si="3"/>
        <v>0.85003929857398774</v>
      </c>
      <c r="AD10" s="4">
        <v>-1.4525279576588146</v>
      </c>
      <c r="AE10" s="5">
        <v>1.7405770024002925</v>
      </c>
      <c r="AF10" s="5">
        <v>-0.3893330929715082</v>
      </c>
      <c r="AG10" s="6">
        <v>0.85003929857398774</v>
      </c>
    </row>
    <row r="11" spans="1:38" x14ac:dyDescent="0.25">
      <c r="A11" s="4">
        <v>0.55288799709778158</v>
      </c>
      <c r="B11" s="5">
        <v>0.2364166821198993</v>
      </c>
      <c r="C11" s="5">
        <v>0.13420859967660181</v>
      </c>
      <c r="D11" s="6">
        <v>0.93965723454557148</v>
      </c>
      <c r="F11">
        <f t="shared" si="0"/>
        <v>-1.92312783280616E-2</v>
      </c>
      <c r="G11">
        <f t="shared" si="1"/>
        <v>-0.63686516259228021</v>
      </c>
      <c r="H11">
        <f t="shared" si="2"/>
        <v>-1.3643059921070366</v>
      </c>
      <c r="I11">
        <f t="shared" si="3"/>
        <v>0.96206815422815894</v>
      </c>
      <c r="AD11" s="4">
        <v>-1.92312783280616E-2</v>
      </c>
      <c r="AE11" s="5">
        <v>-0.63686516259228021</v>
      </c>
      <c r="AF11" s="5">
        <v>-1.3643059921070366</v>
      </c>
      <c r="AG11" s="6">
        <v>0.96206815422815894</v>
      </c>
    </row>
    <row r="12" spans="1:38" x14ac:dyDescent="0.25">
      <c r="A12" s="4">
        <v>0.76795607315988146</v>
      </c>
      <c r="B12" s="5">
        <v>0.66868651602540019</v>
      </c>
      <c r="C12" s="5">
        <v>0.46718792994333291</v>
      </c>
      <c r="D12" s="6">
        <v>0.65674163061746804</v>
      </c>
      <c r="F12">
        <f t="shared" si="0"/>
        <v>0.67440568476030693</v>
      </c>
      <c r="G12">
        <f t="shared" si="1"/>
        <v>0.78630899457602577</v>
      </c>
      <c r="H12">
        <f t="shared" si="2"/>
        <v>-0.15288000376285479</v>
      </c>
      <c r="I12">
        <f t="shared" si="3"/>
        <v>4.2831692561948369E-3</v>
      </c>
      <c r="AD12" s="4">
        <v>0.67440568476030693</v>
      </c>
      <c r="AE12" s="5">
        <v>0.78630899457602577</v>
      </c>
      <c r="AF12" s="5">
        <v>-0.15288000376285479</v>
      </c>
      <c r="AG12" s="6">
        <v>4.2831692561948369E-3</v>
      </c>
    </row>
    <row r="13" spans="1:38" x14ac:dyDescent="0.25">
      <c r="A13" s="4">
        <v>0.80733168517604692</v>
      </c>
      <c r="B13" s="5">
        <v>6.1920895096898243E-2</v>
      </c>
      <c r="C13" s="5">
        <v>0.60114737067032009</v>
      </c>
      <c r="D13" s="6">
        <v>0.88754400576373249</v>
      </c>
      <c r="F13">
        <f t="shared" si="0"/>
        <v>0.80139979954818719</v>
      </c>
      <c r="G13">
        <f t="shared" si="1"/>
        <v>-1.2113625601603217</v>
      </c>
      <c r="H13">
        <f t="shared" si="2"/>
        <v>0.33448342432359518</v>
      </c>
      <c r="I13">
        <f t="shared" si="3"/>
        <v>0.78564356911288014</v>
      </c>
      <c r="AD13" s="4">
        <v>0.80139979954818719</v>
      </c>
      <c r="AE13" s="5">
        <v>-1.2113625601603217</v>
      </c>
      <c r="AF13" s="5">
        <v>0.33448342432359518</v>
      </c>
      <c r="AG13" s="6">
        <v>0.78564356911288014</v>
      </c>
    </row>
    <row r="14" spans="1:38" x14ac:dyDescent="0.25">
      <c r="A14" s="4">
        <v>0.98275720681390666</v>
      </c>
      <c r="B14" s="5">
        <v>0.13214848786310529</v>
      </c>
      <c r="C14" s="5">
        <v>0.817758836254454</v>
      </c>
      <c r="D14" s="6">
        <v>0.87895276158563451</v>
      </c>
      <c r="F14">
        <f t="shared" si="0"/>
        <v>1.3671817059336933</v>
      </c>
      <c r="G14">
        <f t="shared" si="1"/>
        <v>-0.98015027721657344</v>
      </c>
      <c r="H14">
        <f t="shared" si="2"/>
        <v>1.1225466310449859</v>
      </c>
      <c r="I14">
        <f t="shared" si="3"/>
        <v>0.75655869517251895</v>
      </c>
      <c r="AD14" s="4">
        <v>1.3671817059336933</v>
      </c>
      <c r="AE14" s="5">
        <v>-0.98015027721657344</v>
      </c>
      <c r="AF14" s="5">
        <v>1.1225466310449859</v>
      </c>
      <c r="AG14" s="6">
        <v>0.75655869517251895</v>
      </c>
    </row>
    <row r="15" spans="1:38" x14ac:dyDescent="0.25">
      <c r="A15" s="4">
        <v>0.89210488126814635</v>
      </c>
      <c r="B15" s="5">
        <v>0.22307914266139728</v>
      </c>
      <c r="C15" s="5">
        <v>0.41209752168056835</v>
      </c>
      <c r="D15" s="6">
        <v>0.2789295734920072</v>
      </c>
      <c r="F15">
        <f t="shared" si="0"/>
        <v>1.0748100767277713</v>
      </c>
      <c r="G15">
        <f t="shared" si="1"/>
        <v>-0.68077671965388697</v>
      </c>
      <c r="H15">
        <f t="shared" si="2"/>
        <v>-0.35330671560873422</v>
      </c>
      <c r="I15">
        <f t="shared" si="3"/>
        <v>-1.2747651067381385</v>
      </c>
      <c r="AD15" s="4">
        <v>1.0748100767277713</v>
      </c>
      <c r="AE15" s="5">
        <v>-0.68077671965388697</v>
      </c>
      <c r="AF15" s="5">
        <v>-0.35330671560873422</v>
      </c>
      <c r="AG15" s="6">
        <v>-1.2747651067381385</v>
      </c>
    </row>
    <row r="16" spans="1:38" x14ac:dyDescent="0.25">
      <c r="A16" s="4">
        <v>0.52510364754045791</v>
      </c>
      <c r="B16" s="5">
        <v>0.19974575634418756</v>
      </c>
      <c r="C16" s="5">
        <v>0.87954551605810727</v>
      </c>
      <c r="D16" s="6">
        <v>0.21366315554174897</v>
      </c>
      <c r="F16">
        <f t="shared" si="0"/>
        <v>-0.10884128554625459</v>
      </c>
      <c r="G16">
        <f t="shared" si="1"/>
        <v>-0.75759788504924264</v>
      </c>
      <c r="H16">
        <f t="shared" si="2"/>
        <v>1.3473353276517332</v>
      </c>
      <c r="I16">
        <f t="shared" si="3"/>
        <v>-1.4957186146667709</v>
      </c>
      <c r="AD16" s="4">
        <v>-0.10884128554625459</v>
      </c>
      <c r="AE16" s="5">
        <v>-0.75759788504924264</v>
      </c>
      <c r="AF16" s="5">
        <v>1.3473353276517332</v>
      </c>
      <c r="AG16" s="6">
        <v>-1.4957186146667709</v>
      </c>
    </row>
    <row r="17" spans="1:33" x14ac:dyDescent="0.25">
      <c r="A17" s="4">
        <v>0.85159825735767092</v>
      </c>
      <c r="B17" s="5">
        <v>0.12661009568453307</v>
      </c>
      <c r="C17" s="5">
        <v>0.68409974467455437</v>
      </c>
      <c r="D17" s="6">
        <v>0.86090919267405486</v>
      </c>
      <c r="F17">
        <f t="shared" si="0"/>
        <v>0.94416822551173107</v>
      </c>
      <c r="G17">
        <f t="shared" si="1"/>
        <v>-0.99838448187895601</v>
      </c>
      <c r="H17">
        <f t="shared" si="2"/>
        <v>0.63627591571661435</v>
      </c>
      <c r="I17">
        <f t="shared" si="3"/>
        <v>0.69547383757233616</v>
      </c>
      <c r="AD17" s="4">
        <v>0.94416822551173107</v>
      </c>
      <c r="AE17" s="5">
        <v>-0.99838448187895601</v>
      </c>
      <c r="AF17" s="5">
        <v>0.63627591571661435</v>
      </c>
      <c r="AG17" s="6">
        <v>0.69547383757233616</v>
      </c>
    </row>
    <row r="18" spans="1:33" x14ac:dyDescent="0.25">
      <c r="A18" s="4">
        <v>0.14502245460367014</v>
      </c>
      <c r="B18" s="5">
        <v>0.28005126996248941</v>
      </c>
      <c r="C18" s="5">
        <v>0.3490954709455768</v>
      </c>
      <c r="D18" s="6">
        <v>0.99288310254601797</v>
      </c>
      <c r="F18">
        <f t="shared" si="0"/>
        <v>-1.3346780960245954</v>
      </c>
      <c r="G18">
        <f t="shared" si="1"/>
        <v>-0.49320577925016096</v>
      </c>
      <c r="H18">
        <f t="shared" si="2"/>
        <v>-0.58251710388782019</v>
      </c>
      <c r="I18">
        <f t="shared" si="3"/>
        <v>1.1422594779837851</v>
      </c>
      <c r="AD18" s="4">
        <v>-1.3346780960245954</v>
      </c>
      <c r="AE18" s="5">
        <v>-0.49320577925016096</v>
      </c>
      <c r="AF18" s="5">
        <v>-0.58251710388782019</v>
      </c>
      <c r="AG18" s="6">
        <v>1.1422594779837851</v>
      </c>
    </row>
    <row r="19" spans="1:33" ht="15.75" thickBot="1" x14ac:dyDescent="0.3">
      <c r="A19" s="7">
        <v>0.54267816626384657</v>
      </c>
      <c r="B19" s="8">
        <v>0.24537461063557831</v>
      </c>
      <c r="C19" s="8">
        <v>9.070082283629477E-2</v>
      </c>
      <c r="D19" s="9">
        <v>0.30122133760574255</v>
      </c>
      <c r="F19">
        <f t="shared" si="0"/>
        <v>-5.2159996448233902E-2</v>
      </c>
      <c r="G19">
        <f t="shared" si="1"/>
        <v>-0.60737272207175486</v>
      </c>
      <c r="H19">
        <f t="shared" si="2"/>
        <v>-1.5225934495213056</v>
      </c>
      <c r="I19">
        <f t="shared" si="3"/>
        <v>-1.1992983715696592</v>
      </c>
      <c r="AD19" s="7">
        <v>-5.2159996448233902E-2</v>
      </c>
      <c r="AE19" s="8">
        <v>-0.60737272207175486</v>
      </c>
      <c r="AF19" s="8">
        <v>-1.5225934495213056</v>
      </c>
      <c r="AG19" s="9">
        <v>-1.1992983715696592</v>
      </c>
    </row>
    <row r="21" spans="1:33" x14ac:dyDescent="0.25">
      <c r="F21">
        <f>AVERAGE(F2:F19)</f>
        <v>3.257425193778671E-16</v>
      </c>
      <c r="G21">
        <f>AVERAGE(G2:G19)</f>
        <v>-1.3569392523196359E-16</v>
      </c>
      <c r="H21">
        <f>AVERAGE(H2:H19)</f>
        <v>1.7270135938613546E-16</v>
      </c>
      <c r="I21">
        <f>AVERAGE(I2:I19)</f>
        <v>5.3043988954313034E-16</v>
      </c>
    </row>
    <row r="22" spans="1:33" x14ac:dyDescent="0.25">
      <c r="F22">
        <f>_xlfn.STDEV.S(F2:F19)</f>
        <v>0.99999999999999933</v>
      </c>
      <c r="G22">
        <f>_xlfn.STDEV.S(G2:G19)</f>
        <v>1</v>
      </c>
      <c r="H22">
        <f>_xlfn.STDEV.S(H2:H19)</f>
        <v>1.0000000000000002</v>
      </c>
      <c r="I22">
        <f>_xlfn.STDEV.S(I2:I19)</f>
        <v>0.99999999999999956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2160-934A-41A2-8878-D3D1EC4720AC}">
  <dimension ref="A1:E18"/>
  <sheetViews>
    <sheetView workbookViewId="0">
      <selection activeCell="D2" sqref="D2:E16"/>
    </sheetView>
  </sheetViews>
  <sheetFormatPr baseColWidth="10" defaultRowHeight="15" x14ac:dyDescent="0.25"/>
  <cols>
    <col min="5" max="5" width="12.7109375" bestFit="1" customWidth="1"/>
  </cols>
  <sheetData>
    <row r="1" spans="1:5" x14ac:dyDescent="0.25">
      <c r="A1" t="s">
        <v>26</v>
      </c>
      <c r="B1" t="s">
        <v>27</v>
      </c>
    </row>
    <row r="2" spans="1:5" x14ac:dyDescent="0.25">
      <c r="A2">
        <v>0.93764596238535891</v>
      </c>
      <c r="B2">
        <v>0.81379808938330622</v>
      </c>
      <c r="D2">
        <f>A2-$A$18</f>
        <v>0.46436609964680486</v>
      </c>
      <c r="E2">
        <f>B2-$B$18</f>
        <v>0.38321657249679558</v>
      </c>
    </row>
    <row r="3" spans="1:5" x14ac:dyDescent="0.25">
      <c r="A3">
        <v>0.80741164851748326</v>
      </c>
      <c r="B3">
        <v>0.1687218371717305</v>
      </c>
      <c r="D3">
        <f t="shared" ref="D3:D16" si="0">A3-$A$18</f>
        <v>0.33413178577892921</v>
      </c>
      <c r="E3">
        <f t="shared" ref="E3:E16" si="1">B3-$B$18</f>
        <v>-0.26185967971478014</v>
      </c>
    </row>
    <row r="4" spans="1:5" x14ac:dyDescent="0.25">
      <c r="A4">
        <v>0.24959756300451308</v>
      </c>
      <c r="B4">
        <v>0.34311686647676021</v>
      </c>
      <c r="D4">
        <f t="shared" si="0"/>
        <v>-0.22368229973404097</v>
      </c>
      <c r="E4">
        <f t="shared" si="1"/>
        <v>-8.7464650409750433E-2</v>
      </c>
    </row>
    <row r="5" spans="1:5" x14ac:dyDescent="0.25">
      <c r="A5">
        <v>0.46447518829165491</v>
      </c>
      <c r="B5">
        <v>0.26383069802700609</v>
      </c>
      <c r="D5">
        <f t="shared" si="0"/>
        <v>-8.8046744468991411E-3</v>
      </c>
      <c r="E5">
        <f t="shared" si="1"/>
        <v>-0.16675081885950455</v>
      </c>
    </row>
    <row r="6" spans="1:5" x14ac:dyDescent="0.25">
      <c r="A6">
        <v>0.89137976093446092</v>
      </c>
      <c r="B6">
        <v>0.48780894153113219</v>
      </c>
      <c r="D6">
        <f t="shared" si="0"/>
        <v>0.41809989819590687</v>
      </c>
      <c r="E6">
        <f t="shared" si="1"/>
        <v>5.722742464462155E-2</v>
      </c>
    </row>
    <row r="7" spans="1:5" x14ac:dyDescent="0.25">
      <c r="A7">
        <v>0.80509447506547771</v>
      </c>
      <c r="B7">
        <v>0.85535085970322999</v>
      </c>
      <c r="D7">
        <f t="shared" si="0"/>
        <v>0.33181461232692366</v>
      </c>
      <c r="E7">
        <f t="shared" si="1"/>
        <v>0.42476934281671935</v>
      </c>
    </row>
    <row r="8" spans="1:5" x14ac:dyDescent="0.25">
      <c r="A8">
        <v>0.12606112444428885</v>
      </c>
      <c r="B8">
        <v>0.28027991205402003</v>
      </c>
      <c r="D8">
        <f t="shared" si="0"/>
        <v>-0.34721873829426519</v>
      </c>
      <c r="E8">
        <f t="shared" si="1"/>
        <v>-0.15030160483249061</v>
      </c>
    </row>
    <row r="9" spans="1:5" x14ac:dyDescent="0.25">
      <c r="A9">
        <v>0.19780017738898792</v>
      </c>
      <c r="B9">
        <v>0.93205208673510376</v>
      </c>
      <c r="D9">
        <f t="shared" si="0"/>
        <v>-0.27547968534956613</v>
      </c>
      <c r="E9">
        <f t="shared" si="1"/>
        <v>0.50147056984859306</v>
      </c>
    </row>
    <row r="10" spans="1:5" x14ac:dyDescent="0.25">
      <c r="A10">
        <v>0.13419327820311144</v>
      </c>
      <c r="B10">
        <v>0.22872729500718569</v>
      </c>
      <c r="D10">
        <f t="shared" si="0"/>
        <v>-0.3390865845354426</v>
      </c>
      <c r="E10">
        <f t="shared" si="1"/>
        <v>-0.20185422187932495</v>
      </c>
    </row>
    <row r="11" spans="1:5" x14ac:dyDescent="0.25">
      <c r="A11">
        <v>0.92215739031215394</v>
      </c>
      <c r="B11">
        <v>0.16445080617759</v>
      </c>
      <c r="D11">
        <f t="shared" si="0"/>
        <v>0.44887752757359989</v>
      </c>
      <c r="E11">
        <f t="shared" si="1"/>
        <v>-0.26613071070892064</v>
      </c>
    </row>
    <row r="12" spans="1:5" x14ac:dyDescent="0.25">
      <c r="A12">
        <v>0.59085594877019965</v>
      </c>
      <c r="B12">
        <v>2.1993643322754108E-2</v>
      </c>
      <c r="D12">
        <f t="shared" si="0"/>
        <v>0.1175760860316456</v>
      </c>
      <c r="E12">
        <f t="shared" si="1"/>
        <v>-0.40858787356375653</v>
      </c>
    </row>
    <row r="13" spans="1:5" x14ac:dyDescent="0.25">
      <c r="A13">
        <v>0.44282883522426886</v>
      </c>
      <c r="B13">
        <v>0.34082357668876728</v>
      </c>
      <c r="D13">
        <f t="shared" si="0"/>
        <v>-3.0451027514285189E-2</v>
      </c>
      <c r="E13">
        <f t="shared" si="1"/>
        <v>-8.9757940197743358E-2</v>
      </c>
    </row>
    <row r="14" spans="1:5" x14ac:dyDescent="0.25">
      <c r="A14">
        <v>0.11497796692740314</v>
      </c>
      <c r="B14">
        <v>0.34312667503797989</v>
      </c>
      <c r="D14">
        <f t="shared" si="0"/>
        <v>-0.35830189581115091</v>
      </c>
      <c r="E14">
        <f t="shared" si="1"/>
        <v>-8.7454841848530751E-2</v>
      </c>
    </row>
    <row r="15" spans="1:5" x14ac:dyDescent="0.25">
      <c r="A15">
        <v>0.26590575997053478</v>
      </c>
      <c r="B15">
        <v>0.63649293672323359</v>
      </c>
      <c r="D15">
        <f t="shared" si="0"/>
        <v>-0.20737410276801926</v>
      </c>
      <c r="E15">
        <f t="shared" si="1"/>
        <v>0.20591141983672295</v>
      </c>
    </row>
    <row r="16" spans="1:5" x14ac:dyDescent="0.25">
      <c r="A16">
        <v>0.14881286163841345</v>
      </c>
      <c r="B16">
        <v>0.57814852925785931</v>
      </c>
      <c r="D16">
        <f t="shared" si="0"/>
        <v>-0.3244670011001406</v>
      </c>
      <c r="E16">
        <f t="shared" si="1"/>
        <v>0.14756701237134867</v>
      </c>
    </row>
    <row r="18" spans="1:5" x14ac:dyDescent="0.25">
      <c r="A18">
        <f>AVERAGE(A2:A16)</f>
        <v>0.47327986273855405</v>
      </c>
      <c r="B18">
        <f>AVERAGE(B2:B16)</f>
        <v>0.43058151688651064</v>
      </c>
      <c r="D18">
        <f>AVERAGE(D2:D16)</f>
        <v>0</v>
      </c>
      <c r="E18">
        <f>AVERAGE(E2:E16)</f>
        <v>-4.8109664400423452E-17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D7E1-5594-49C7-9536-B0DADAAD948A}">
  <dimension ref="D3:I7"/>
  <sheetViews>
    <sheetView topLeftCell="A2" workbookViewId="0">
      <selection activeCell="E6" sqref="E6"/>
    </sheetView>
  </sheetViews>
  <sheetFormatPr baseColWidth="10" defaultRowHeight="15" x14ac:dyDescent="0.25"/>
  <cols>
    <col min="8" max="8" width="3.28515625" customWidth="1"/>
  </cols>
  <sheetData>
    <row r="3" spans="4:9" x14ac:dyDescent="0.25">
      <c r="D3" s="21"/>
      <c r="E3" s="21"/>
      <c r="F3" s="21"/>
      <c r="G3" s="21"/>
      <c r="I3">
        <v>0</v>
      </c>
    </row>
    <row r="4" spans="4:9" x14ac:dyDescent="0.25">
      <c r="D4" s="21"/>
      <c r="E4" s="21"/>
      <c r="F4" s="21"/>
      <c r="G4" s="21"/>
      <c r="I4">
        <v>1</v>
      </c>
    </row>
    <row r="5" spans="4:9" x14ac:dyDescent="0.25">
      <c r="D5" s="21"/>
      <c r="E5" s="21"/>
      <c r="F5" s="21"/>
      <c r="G5" s="21"/>
      <c r="I5">
        <v>0</v>
      </c>
    </row>
    <row r="6" spans="4:9" x14ac:dyDescent="0.25">
      <c r="D6" s="21"/>
      <c r="E6" s="21"/>
      <c r="F6" s="21"/>
      <c r="G6" s="21"/>
      <c r="I6">
        <v>0</v>
      </c>
    </row>
    <row r="7" spans="4:9" x14ac:dyDescent="0.25">
      <c r="D7" s="21"/>
      <c r="E7" s="21"/>
      <c r="F7" s="21"/>
      <c r="G7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B23F-AEB6-4185-BB58-554D2F51F796}">
  <dimension ref="C3:K16"/>
  <sheetViews>
    <sheetView topLeftCell="A3" workbookViewId="0">
      <selection activeCell="H4" sqref="H4:K4"/>
    </sheetView>
  </sheetViews>
  <sheetFormatPr baseColWidth="10" defaultRowHeight="15" x14ac:dyDescent="0.25"/>
  <sheetData>
    <row r="3" spans="3:11" ht="15.75" thickBot="1" x14ac:dyDescent="0.3"/>
    <row r="4" spans="3:11" x14ac:dyDescent="0.25">
      <c r="C4" s="1"/>
      <c r="D4" s="2"/>
      <c r="E4" s="2"/>
      <c r="F4" s="3"/>
      <c r="H4" s="10"/>
      <c r="I4" s="10"/>
      <c r="J4" s="10"/>
      <c r="K4" s="10"/>
    </row>
    <row r="5" spans="3:11" x14ac:dyDescent="0.25">
      <c r="C5" s="4"/>
      <c r="D5" s="5"/>
      <c r="E5" s="5"/>
      <c r="F5" s="6"/>
      <c r="H5" s="11"/>
      <c r="I5" s="11"/>
      <c r="J5" s="11"/>
      <c r="K5" s="11"/>
    </row>
    <row r="6" spans="3:11" x14ac:dyDescent="0.25">
      <c r="C6" s="4"/>
      <c r="D6" s="5"/>
      <c r="E6" s="5"/>
      <c r="F6" s="6"/>
      <c r="H6" s="11"/>
      <c r="I6" s="11"/>
      <c r="J6" s="11"/>
      <c r="K6" s="11"/>
    </row>
    <row r="7" spans="3:11" ht="15.75" thickBot="1" x14ac:dyDescent="0.3">
      <c r="C7" s="4"/>
      <c r="D7" s="5"/>
      <c r="E7" s="5"/>
      <c r="F7" s="6"/>
      <c r="H7" s="12"/>
      <c r="I7" s="12"/>
      <c r="J7" s="12"/>
      <c r="K7" s="12"/>
    </row>
    <row r="8" spans="3:11" x14ac:dyDescent="0.25">
      <c r="C8" s="4"/>
      <c r="D8" s="5"/>
      <c r="E8" s="5"/>
      <c r="F8" s="6"/>
    </row>
    <row r="9" spans="3:11" x14ac:dyDescent="0.25">
      <c r="C9" s="4"/>
      <c r="D9" s="5"/>
      <c r="E9" s="5"/>
      <c r="F9" s="6"/>
    </row>
    <row r="10" spans="3:11" x14ac:dyDescent="0.25">
      <c r="C10" s="4"/>
      <c r="D10" s="5"/>
      <c r="E10" s="5"/>
      <c r="F10" s="6"/>
    </row>
    <row r="11" spans="3:11" x14ac:dyDescent="0.25">
      <c r="C11" s="4"/>
      <c r="D11" s="5"/>
      <c r="E11" s="5"/>
      <c r="F11" s="6"/>
    </row>
    <row r="12" spans="3:11" x14ac:dyDescent="0.25">
      <c r="C12" s="4"/>
      <c r="D12" s="5"/>
      <c r="E12" s="5"/>
      <c r="F12" s="6"/>
    </row>
    <row r="13" spans="3:11" x14ac:dyDescent="0.25">
      <c r="C13" s="4"/>
      <c r="D13" s="5"/>
      <c r="E13" s="5"/>
      <c r="F13" s="6"/>
    </row>
    <row r="14" spans="3:11" x14ac:dyDescent="0.25">
      <c r="C14" s="4"/>
      <c r="D14" s="5"/>
      <c r="E14" s="5"/>
      <c r="F14" s="6"/>
    </row>
    <row r="15" spans="3:11" x14ac:dyDescent="0.25">
      <c r="C15" s="4"/>
      <c r="D15" s="5"/>
      <c r="E15" s="5"/>
      <c r="F15" s="6"/>
    </row>
    <row r="16" spans="3:11" ht="15.75" thickBot="1" x14ac:dyDescent="0.3">
      <c r="C16" s="7"/>
      <c r="D16" s="8"/>
      <c r="E16" s="8"/>
      <c r="F16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96AC-943A-4734-9E6B-501A418B38DC}">
  <dimension ref="A1:J19"/>
  <sheetViews>
    <sheetView workbookViewId="0"/>
  </sheetViews>
  <sheetFormatPr baseColWidth="10" defaultRowHeight="15" x14ac:dyDescent="0.25"/>
  <cols>
    <col min="8" max="8" width="20.28515625" bestFit="1" customWidth="1"/>
  </cols>
  <sheetData>
    <row r="1" spans="1:10" x14ac:dyDescent="0.25">
      <c r="A1" t="s">
        <v>28</v>
      </c>
      <c r="B1" s="27" t="s">
        <v>18</v>
      </c>
      <c r="C1" s="27" t="s">
        <v>19</v>
      </c>
      <c r="D1" s="27" t="s">
        <v>20</v>
      </c>
      <c r="E1" s="27" t="s">
        <v>21</v>
      </c>
      <c r="F1" s="34" t="s">
        <v>34</v>
      </c>
      <c r="G1" s="28" t="s">
        <v>35</v>
      </c>
      <c r="H1" s="37" t="s">
        <v>36</v>
      </c>
      <c r="J1" s="10">
        <v>1</v>
      </c>
    </row>
    <row r="2" spans="1:10" x14ac:dyDescent="0.25">
      <c r="A2">
        <v>1</v>
      </c>
      <c r="B2" s="24"/>
      <c r="C2" s="24"/>
      <c r="D2" s="24"/>
      <c r="E2" s="24"/>
      <c r="F2" s="35"/>
      <c r="G2" s="26"/>
      <c r="J2" s="11">
        <v>2</v>
      </c>
    </row>
    <row r="3" spans="1:10" x14ac:dyDescent="0.25">
      <c r="A3">
        <v>1</v>
      </c>
      <c r="B3" s="24"/>
      <c r="C3" s="24"/>
      <c r="D3" s="24"/>
      <c r="E3" s="24"/>
      <c r="F3" s="35"/>
      <c r="G3" s="26"/>
      <c r="J3" s="11">
        <v>-1</v>
      </c>
    </row>
    <row r="4" spans="1:10" x14ac:dyDescent="0.25">
      <c r="A4">
        <v>1</v>
      </c>
      <c r="B4" s="24"/>
      <c r="C4" s="24"/>
      <c r="D4" s="24"/>
      <c r="E4" s="24"/>
      <c r="F4" s="35"/>
      <c r="G4" s="26"/>
      <c r="J4" s="11">
        <v>4</v>
      </c>
    </row>
    <row r="5" spans="1:10" ht="15.75" thickBot="1" x14ac:dyDescent="0.3">
      <c r="A5">
        <v>1</v>
      </c>
      <c r="B5" s="24"/>
      <c r="C5" s="24"/>
      <c r="D5" s="24"/>
      <c r="E5" s="24"/>
      <c r="F5" s="35"/>
      <c r="G5" s="26"/>
      <c r="J5" s="12">
        <v>5</v>
      </c>
    </row>
    <row r="6" spans="1:10" ht="15.75" thickBot="1" x14ac:dyDescent="0.3">
      <c r="A6" s="30">
        <v>1</v>
      </c>
      <c r="B6" s="31"/>
      <c r="C6" s="31"/>
      <c r="D6" s="31"/>
      <c r="E6" s="32"/>
      <c r="F6" s="36"/>
      <c r="G6" s="29"/>
    </row>
    <row r="7" spans="1:10" x14ac:dyDescent="0.25">
      <c r="A7">
        <v>1</v>
      </c>
      <c r="B7" s="24"/>
      <c r="C7" s="24"/>
      <c r="D7" s="24"/>
      <c r="E7" s="24"/>
      <c r="F7" s="35"/>
      <c r="G7" s="26"/>
    </row>
    <row r="8" spans="1:10" x14ac:dyDescent="0.25">
      <c r="A8">
        <v>1</v>
      </c>
      <c r="B8" s="24"/>
      <c r="C8" s="24"/>
      <c r="D8" s="24"/>
      <c r="E8" s="24"/>
      <c r="F8" s="35"/>
      <c r="G8" s="26"/>
    </row>
    <row r="9" spans="1:10" x14ac:dyDescent="0.25">
      <c r="A9">
        <v>1</v>
      </c>
      <c r="B9" s="24"/>
      <c r="C9" s="24"/>
      <c r="D9" s="24"/>
      <c r="E9" s="24"/>
      <c r="F9" s="35"/>
      <c r="G9" s="26"/>
    </row>
    <row r="10" spans="1:10" x14ac:dyDescent="0.25">
      <c r="A10">
        <v>1</v>
      </c>
      <c r="B10" s="24"/>
      <c r="C10" s="24"/>
      <c r="D10" s="24"/>
      <c r="E10" s="24"/>
      <c r="F10" s="35"/>
      <c r="G10" s="26"/>
    </row>
    <row r="11" spans="1:10" x14ac:dyDescent="0.25">
      <c r="A11">
        <v>1</v>
      </c>
      <c r="B11" s="24"/>
      <c r="C11" s="24"/>
      <c r="D11" s="24"/>
      <c r="E11" s="24"/>
      <c r="F11" s="35"/>
      <c r="G11" s="26"/>
    </row>
    <row r="12" spans="1:10" x14ac:dyDescent="0.25">
      <c r="A12">
        <v>1</v>
      </c>
      <c r="B12" s="24"/>
      <c r="C12" s="24"/>
      <c r="D12" s="24"/>
      <c r="E12" s="24"/>
      <c r="F12" s="35"/>
      <c r="G12" s="26"/>
    </row>
    <row r="13" spans="1:10" x14ac:dyDescent="0.25">
      <c r="A13">
        <v>1</v>
      </c>
      <c r="B13" s="24"/>
      <c r="C13" s="24"/>
      <c r="D13" s="24"/>
      <c r="E13" s="24"/>
      <c r="F13" s="35"/>
      <c r="G13" s="26"/>
    </row>
    <row r="14" spans="1:10" x14ac:dyDescent="0.25">
      <c r="A14">
        <v>1</v>
      </c>
      <c r="B14" s="24"/>
      <c r="C14" s="24"/>
      <c r="D14" s="24"/>
      <c r="E14" s="24"/>
      <c r="F14" s="35"/>
      <c r="G14" s="26"/>
    </row>
    <row r="15" spans="1:10" x14ac:dyDescent="0.25">
      <c r="A15">
        <v>1</v>
      </c>
      <c r="B15" s="24"/>
      <c r="C15" s="24"/>
      <c r="D15" s="24"/>
      <c r="E15" s="24"/>
      <c r="F15" s="35"/>
      <c r="G15" s="26"/>
    </row>
    <row r="16" spans="1:10" x14ac:dyDescent="0.25">
      <c r="A16">
        <v>1</v>
      </c>
      <c r="B16" s="24"/>
      <c r="C16" s="24"/>
      <c r="D16" s="24"/>
      <c r="E16" s="24"/>
      <c r="F16" s="35"/>
      <c r="G16" s="26"/>
    </row>
    <row r="17" spans="1:7" x14ac:dyDescent="0.25">
      <c r="A17">
        <v>1</v>
      </c>
      <c r="B17" s="24"/>
      <c r="C17" s="24"/>
      <c r="D17" s="24"/>
      <c r="E17" s="24"/>
      <c r="F17" s="35"/>
      <c r="G17" s="26"/>
    </row>
    <row r="19" spans="1:7" x14ac:dyDescent="0.25">
      <c r="B19" s="33"/>
      <c r="C19" s="33"/>
      <c r="D19" s="33"/>
      <c r="E19" s="33"/>
      <c r="F19" s="33"/>
      <c r="G19" s="25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CC931-2348-4E8F-B6F9-0A5435B030C7}">
  <dimension ref="A1:L6"/>
  <sheetViews>
    <sheetView workbookViewId="0">
      <selection activeCell="A2" sqref="A2:A4"/>
    </sheetView>
  </sheetViews>
  <sheetFormatPr baseColWidth="10" defaultRowHeight="15" x14ac:dyDescent="0.25"/>
  <sheetData>
    <row r="1" spans="1:12" ht="15.75" thickBot="1" x14ac:dyDescent="0.3">
      <c r="B1" s="39" t="s">
        <v>37</v>
      </c>
      <c r="C1" s="39"/>
      <c r="D1" s="39"/>
      <c r="E1" s="39"/>
      <c r="F1" s="39"/>
      <c r="H1" s="40" t="s">
        <v>40</v>
      </c>
      <c r="I1" s="40"/>
    </row>
    <row r="2" spans="1:12" x14ac:dyDescent="0.25">
      <c r="A2" s="23" t="s">
        <v>39</v>
      </c>
      <c r="B2" s="1"/>
      <c r="C2" s="2"/>
      <c r="D2" s="2"/>
      <c r="E2" s="2"/>
      <c r="F2" s="3"/>
      <c r="G2" s="23" t="s">
        <v>38</v>
      </c>
      <c r="H2" s="1"/>
      <c r="I2" s="3"/>
      <c r="J2" s="38" t="s">
        <v>16</v>
      </c>
      <c r="K2" s="1"/>
      <c r="L2" s="3"/>
    </row>
    <row r="3" spans="1:12" x14ac:dyDescent="0.25">
      <c r="A3" s="23"/>
      <c r="B3" s="4"/>
      <c r="C3" s="5"/>
      <c r="D3" s="5"/>
      <c r="E3" s="5"/>
      <c r="F3" s="6"/>
      <c r="G3" s="23"/>
      <c r="H3" s="4"/>
      <c r="I3" s="6"/>
      <c r="J3" s="38"/>
      <c r="K3" s="4"/>
      <c r="L3" s="6"/>
    </row>
    <row r="4" spans="1:12" ht="15.75" thickBot="1" x14ac:dyDescent="0.3">
      <c r="A4" s="23"/>
      <c r="B4" s="7"/>
      <c r="C4" s="8"/>
      <c r="D4" s="8"/>
      <c r="E4" s="8"/>
      <c r="F4" s="9"/>
      <c r="G4" s="23"/>
      <c r="H4" s="4"/>
      <c r="I4" s="6"/>
      <c r="J4" s="38"/>
      <c r="K4" s="7"/>
      <c r="L4" s="9"/>
    </row>
    <row r="5" spans="1:12" x14ac:dyDescent="0.25">
      <c r="G5" s="23"/>
      <c r="H5" s="4"/>
      <c r="I5" s="6"/>
    </row>
    <row r="6" spans="1:12" ht="15.75" thickBot="1" x14ac:dyDescent="0.3">
      <c r="G6" s="23"/>
      <c r="H6" s="7"/>
      <c r="I6" s="9"/>
    </row>
  </sheetData>
  <mergeCells count="5">
    <mergeCell ref="J2:J4"/>
    <mergeCell ref="B1:F1"/>
    <mergeCell ref="G2:G6"/>
    <mergeCell ref="A2:A4"/>
    <mergeCell ref="H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14ED-7AA0-4E80-8B37-6C0462A1795D}">
  <dimension ref="A1:X39"/>
  <sheetViews>
    <sheetView workbookViewId="0">
      <selection activeCell="B2" sqref="B2"/>
    </sheetView>
  </sheetViews>
  <sheetFormatPr baseColWidth="10" defaultRowHeight="15" x14ac:dyDescent="0.25"/>
  <sheetData>
    <row r="1" spans="1:15" x14ac:dyDescent="0.25">
      <c r="B1" s="22" t="s">
        <v>41</v>
      </c>
      <c r="C1" s="22"/>
      <c r="D1" s="22"/>
      <c r="E1" s="22"/>
      <c r="G1" s="22" t="s">
        <v>42</v>
      </c>
      <c r="H1" s="22"/>
      <c r="I1" s="22"/>
      <c r="J1" s="22"/>
      <c r="L1" s="22" t="s">
        <v>43</v>
      </c>
      <c r="M1" s="22"/>
      <c r="N1" s="22"/>
    </row>
    <row r="2" spans="1:15" x14ac:dyDescent="0.25">
      <c r="B2" s="41"/>
      <c r="C2" s="41"/>
      <c r="D2" s="41"/>
      <c r="E2" s="41"/>
      <c r="G2" s="42"/>
      <c r="H2" s="42"/>
      <c r="I2" s="42"/>
      <c r="J2" s="42"/>
      <c r="L2" s="43"/>
      <c r="M2" s="43"/>
      <c r="N2" s="43"/>
    </row>
    <row r="3" spans="1:15" x14ac:dyDescent="0.25">
      <c r="B3" s="41"/>
      <c r="C3" s="41"/>
      <c r="D3" s="41"/>
      <c r="E3" s="41"/>
      <c r="G3" s="42"/>
      <c r="H3" s="42"/>
      <c r="I3" s="42"/>
      <c r="J3" s="42"/>
      <c r="L3" s="42"/>
      <c r="M3" s="42"/>
      <c r="N3" s="42"/>
    </row>
    <row r="4" spans="1:15" x14ac:dyDescent="0.25">
      <c r="B4" s="41"/>
      <c r="C4" s="41"/>
      <c r="D4" s="41"/>
      <c r="E4" s="41"/>
      <c r="G4" s="42"/>
      <c r="H4" s="42"/>
      <c r="I4" s="42"/>
      <c r="J4" s="42"/>
      <c r="L4" s="44"/>
      <c r="M4" s="44"/>
      <c r="N4" s="44"/>
    </row>
    <row r="5" spans="1:15" x14ac:dyDescent="0.25">
      <c r="B5" s="41"/>
      <c r="C5" s="41"/>
      <c r="D5" s="41"/>
      <c r="E5" s="41"/>
      <c r="G5" s="42"/>
      <c r="H5" s="42"/>
      <c r="I5" s="42"/>
      <c r="J5" s="42"/>
    </row>
    <row r="6" spans="1:15" x14ac:dyDescent="0.25">
      <c r="B6" s="41"/>
      <c r="C6" s="41"/>
      <c r="D6" s="41"/>
      <c r="E6" s="41"/>
      <c r="G6" s="42"/>
      <c r="H6" s="42"/>
      <c r="I6" s="42"/>
      <c r="J6" s="42"/>
    </row>
    <row r="7" spans="1:15" x14ac:dyDescent="0.25">
      <c r="B7" s="41"/>
      <c r="C7" s="41"/>
      <c r="D7" s="41"/>
      <c r="E7" s="41"/>
      <c r="G7" s="42"/>
      <c r="H7" s="42"/>
      <c r="I7" s="42"/>
      <c r="J7" s="42"/>
    </row>
    <row r="8" spans="1:15" x14ac:dyDescent="0.25">
      <c r="B8" s="41"/>
      <c r="C8" s="41"/>
      <c r="D8" s="41"/>
      <c r="E8" s="41"/>
      <c r="G8" s="42"/>
      <c r="H8" s="42"/>
      <c r="I8" s="42"/>
      <c r="J8" s="42"/>
    </row>
    <row r="9" spans="1:15" x14ac:dyDescent="0.25">
      <c r="B9" s="41"/>
      <c r="C9" s="41"/>
      <c r="D9" s="41"/>
      <c r="E9" s="41"/>
      <c r="G9" s="42"/>
      <c r="H9" s="42"/>
      <c r="I9" s="42"/>
      <c r="J9" s="42"/>
    </row>
    <row r="10" spans="1:15" x14ac:dyDescent="0.25">
      <c r="B10" s="41"/>
      <c r="C10" s="41"/>
      <c r="D10" s="41"/>
      <c r="E10" s="41"/>
      <c r="G10" s="42"/>
      <c r="H10" s="42"/>
      <c r="I10" s="42"/>
      <c r="J10" s="42"/>
    </row>
    <row r="11" spans="1:15" x14ac:dyDescent="0.25">
      <c r="B11" s="41"/>
      <c r="C11" s="41"/>
      <c r="D11" s="41"/>
      <c r="E11" s="41"/>
      <c r="G11" s="42"/>
      <c r="H11" s="42"/>
      <c r="I11" s="42"/>
      <c r="J11" s="42"/>
    </row>
    <row r="12" spans="1:15" x14ac:dyDescent="0.25">
      <c r="B12" s="41"/>
      <c r="C12" s="41"/>
      <c r="D12" s="41"/>
      <c r="E12" s="41"/>
      <c r="G12" s="42"/>
      <c r="H12" s="42"/>
      <c r="I12" s="42"/>
      <c r="J12" s="42"/>
    </row>
    <row r="13" spans="1:15" ht="15.75" thickBo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5">
      <c r="A15" s="5"/>
      <c r="B15" s="5"/>
      <c r="C15" s="5"/>
      <c r="D15" s="5"/>
      <c r="E15" s="5"/>
      <c r="F15" s="45" t="s">
        <v>44</v>
      </c>
      <c r="G15" s="45"/>
      <c r="H15" s="45"/>
      <c r="I15" s="45"/>
      <c r="J15" s="45"/>
      <c r="K15" s="45"/>
      <c r="L15" s="45"/>
      <c r="M15" s="45"/>
      <c r="N15" s="45"/>
      <c r="O15" s="5"/>
    </row>
    <row r="17" spans="2:24" x14ac:dyDescent="0.25">
      <c r="B17" s="43"/>
      <c r="C17" s="43"/>
      <c r="D17" s="43"/>
      <c r="F17" s="43"/>
      <c r="G17" s="43"/>
      <c r="H17" s="43"/>
      <c r="I17" s="42"/>
      <c r="J17" s="42"/>
      <c r="K17" s="42"/>
      <c r="L17" s="44"/>
      <c r="M17" s="44"/>
      <c r="N17" s="44"/>
      <c r="P17" s="43"/>
      <c r="Q17" s="43"/>
      <c r="R17" s="43"/>
      <c r="S17" s="42"/>
      <c r="T17" s="42"/>
      <c r="U17" s="42"/>
      <c r="V17" s="44"/>
      <c r="W17" s="44"/>
      <c r="X17" s="44"/>
    </row>
    <row r="18" spans="2:24" x14ac:dyDescent="0.25">
      <c r="B18" s="42"/>
      <c r="C18" s="42"/>
      <c r="D18" s="42"/>
      <c r="P18" s="43"/>
      <c r="Q18" s="43"/>
      <c r="R18" s="43"/>
      <c r="S18" s="42"/>
      <c r="T18" s="42"/>
      <c r="U18" s="42"/>
      <c r="V18" s="44"/>
      <c r="W18" s="44"/>
      <c r="X18" s="44"/>
    </row>
    <row r="19" spans="2:24" x14ac:dyDescent="0.25">
      <c r="B19" s="44"/>
      <c r="C19" s="44"/>
      <c r="D19" s="44"/>
      <c r="P19" s="43"/>
      <c r="Q19" s="43"/>
      <c r="R19" s="43"/>
      <c r="S19" s="42"/>
      <c r="T19" s="42"/>
      <c r="U19" s="42"/>
      <c r="V19" s="44"/>
      <c r="W19" s="44"/>
      <c r="X19" s="44"/>
    </row>
    <row r="20" spans="2:24" x14ac:dyDescent="0.25">
      <c r="P20" s="43"/>
      <c r="Q20" s="43"/>
      <c r="R20" s="43"/>
      <c r="S20" s="42"/>
      <c r="T20" s="42"/>
      <c r="U20" s="42"/>
      <c r="V20" s="44"/>
      <c r="W20" s="44"/>
      <c r="X20" s="44"/>
    </row>
    <row r="21" spans="2:24" x14ac:dyDescent="0.25">
      <c r="B21" s="43"/>
      <c r="C21" s="43"/>
      <c r="D21" s="43"/>
      <c r="F21" s="43"/>
      <c r="G21" s="43"/>
      <c r="H21" s="43"/>
      <c r="I21" s="42"/>
      <c r="J21" s="42"/>
      <c r="K21" s="42"/>
      <c r="L21" s="44"/>
      <c r="M21" s="44"/>
      <c r="N21" s="44"/>
    </row>
    <row r="22" spans="2:24" x14ac:dyDescent="0.25">
      <c r="B22" s="42"/>
      <c r="C22" s="42"/>
      <c r="D22" s="42"/>
    </row>
    <row r="23" spans="2:24" x14ac:dyDescent="0.25">
      <c r="B23" s="44"/>
      <c r="C23" s="44"/>
      <c r="D23" s="44"/>
    </row>
    <row r="25" spans="2:24" x14ac:dyDescent="0.25">
      <c r="B25" s="43"/>
      <c r="C25" s="43"/>
      <c r="D25" s="43"/>
      <c r="F25" s="43"/>
      <c r="G25" s="43"/>
      <c r="H25" s="43"/>
      <c r="I25" s="42"/>
      <c r="J25" s="42"/>
      <c r="K25" s="42"/>
      <c r="L25" s="44"/>
      <c r="M25" s="44"/>
      <c r="N25" s="44"/>
    </row>
    <row r="26" spans="2:24" x14ac:dyDescent="0.25">
      <c r="B26" s="42"/>
      <c r="C26" s="42"/>
      <c r="D26" s="42"/>
    </row>
    <row r="27" spans="2:24" x14ac:dyDescent="0.25">
      <c r="B27" s="44"/>
      <c r="C27" s="44"/>
      <c r="D27" s="44"/>
    </row>
    <row r="29" spans="2:24" x14ac:dyDescent="0.25">
      <c r="B29" s="43"/>
      <c r="C29" s="43"/>
      <c r="D29" s="43"/>
      <c r="F29" s="43"/>
      <c r="G29" s="43"/>
      <c r="H29" s="43"/>
      <c r="I29" s="42"/>
      <c r="J29" s="42"/>
      <c r="K29" s="42"/>
      <c r="L29" s="44"/>
      <c r="M29" s="44"/>
      <c r="N29" s="44"/>
    </row>
    <row r="30" spans="2:24" x14ac:dyDescent="0.25">
      <c r="B30" s="42"/>
      <c r="C30" s="42"/>
      <c r="D30" s="42"/>
    </row>
    <row r="31" spans="2:24" x14ac:dyDescent="0.25">
      <c r="B31" s="44"/>
      <c r="C31" s="44"/>
      <c r="D31" s="44"/>
    </row>
    <row r="33" spans="1:17" ht="15.75" thickBo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5" spans="1:17" x14ac:dyDescent="0.25">
      <c r="B35" s="22" t="s">
        <v>45</v>
      </c>
      <c r="C35" s="22"/>
      <c r="D35" s="22"/>
      <c r="E35" s="22"/>
      <c r="F35" s="22"/>
      <c r="G35" s="22"/>
      <c r="H35" s="22"/>
      <c r="I35" s="22"/>
      <c r="J35" s="22"/>
    </row>
    <row r="36" spans="1:17" x14ac:dyDescent="0.25">
      <c r="B36" s="43"/>
      <c r="C36" s="43"/>
      <c r="D36" s="43"/>
      <c r="E36" s="42"/>
      <c r="F36" s="42"/>
      <c r="G36" s="42"/>
      <c r="H36" s="44"/>
      <c r="I36" s="44"/>
      <c r="J36" s="44"/>
    </row>
    <row r="37" spans="1:17" x14ac:dyDescent="0.25">
      <c r="B37" s="43"/>
      <c r="C37" s="43"/>
      <c r="D37" s="43"/>
      <c r="E37" s="42"/>
      <c r="F37" s="42"/>
      <c r="G37" s="42"/>
      <c r="H37" s="44"/>
      <c r="I37" s="44"/>
      <c r="J37" s="44"/>
    </row>
    <row r="38" spans="1:17" x14ac:dyDescent="0.25">
      <c r="B38" s="43"/>
      <c r="C38" s="43"/>
      <c r="D38" s="43"/>
      <c r="E38" s="42"/>
      <c r="F38" s="42"/>
      <c r="G38" s="42"/>
      <c r="H38" s="44"/>
      <c r="I38" s="44"/>
      <c r="J38" s="44"/>
    </row>
    <row r="39" spans="1:17" x14ac:dyDescent="0.25">
      <c r="B39" s="43"/>
      <c r="C39" s="43"/>
      <c r="D39" s="43"/>
      <c r="E39" s="42"/>
      <c r="F39" s="42"/>
      <c r="G39" s="42"/>
      <c r="H39" s="44"/>
      <c r="I39" s="44"/>
      <c r="J39" s="44"/>
    </row>
  </sheetData>
  <mergeCells count="5">
    <mergeCell ref="B1:E1"/>
    <mergeCell ref="G1:J1"/>
    <mergeCell ref="L1:N1"/>
    <mergeCell ref="F15:N15"/>
    <mergeCell ref="B35:J3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BEACBA86-8DDE-42F8-9D6E-DF66D1ADAF6A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6C69B233-5538-4BED-B2DC-2CFF4830B2FF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2026-04-06T23:38:57Z</dcterms:created>
  <dcterms:modified xsi:type="dcterms:W3CDTF">2026-04-10T19:42:25Z</dcterms:modified>
</cp:coreProperties>
</file>